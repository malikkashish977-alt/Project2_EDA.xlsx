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Kashish\Downloads\"/>
    </mc:Choice>
  </mc:AlternateContent>
  <xr:revisionPtr revIDLastSave="0" documentId="8_{0408C3A2-3371-47D7-9524-592FF0C6703B}" xr6:coauthVersionLast="47" xr6:coauthVersionMax="47" xr10:uidLastSave="{00000000-0000-0000-0000-000000000000}"/>
  <bookViews>
    <workbookView xWindow="9624" yWindow="0" windowWidth="12864" windowHeight="12336" activeTab="2" xr2:uid="{00000000-000D-0000-FFFF-FFFF00000000}"/>
  </bookViews>
  <sheets>
    <sheet name="Raw_Data" sheetId="1" r:id="rId1"/>
    <sheet name="cleaned_data" sheetId="3" r:id="rId2"/>
    <sheet name="analysis" sheetId="4" r:id="rId3"/>
    <sheet name="Sheet2" sheetId="5" r:id="rId4"/>
  </sheets>
  <definedNames>
    <definedName name="_xlchart.v1.0" hidden="1">analysis!$A$8</definedName>
    <definedName name="_xlchart.v1.1" hidden="1">analysis!$A$9:$A$15</definedName>
    <definedName name="_xlchart.v1.2" hidden="1">analysis!$B$8</definedName>
    <definedName name="_xlchart.v1.3" hidden="1">analysis!$B$9:$B$15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4" l="1"/>
  <c r="B11" i="4"/>
  <c r="B10" i="4"/>
  <c r="B9" i="4"/>
  <c r="B6" i="4"/>
  <c r="B4" i="4"/>
  <c r="B3" i="4"/>
  <c r="B2" i="4"/>
</calcChain>
</file>

<file path=xl/sharedStrings.xml><?xml version="1.0" encoding="utf-8"?>
<sst xmlns="http://schemas.openxmlformats.org/spreadsheetml/2006/main" count="81" uniqueCount="45">
  <si>
    <t>Emp_ID</t>
  </si>
  <si>
    <t>Name</t>
  </si>
  <si>
    <t>Department</t>
  </si>
  <si>
    <t>Join_Date</t>
  </si>
  <si>
    <t>Salary</t>
  </si>
  <si>
    <t>Aman</t>
  </si>
  <si>
    <t>HR</t>
  </si>
  <si>
    <t>12-01-2024</t>
  </si>
  <si>
    <t xml:space="preserve">Riya </t>
  </si>
  <si>
    <t>IT</t>
  </si>
  <si>
    <t>Sales</t>
  </si>
  <si>
    <t>Karan</t>
  </si>
  <si>
    <t>Vikas</t>
  </si>
  <si>
    <t>Finance</t>
  </si>
  <si>
    <t>Pooja</t>
  </si>
  <si>
    <t>Rahul</t>
  </si>
  <si>
    <t>kashish</t>
  </si>
  <si>
    <t>areeb</t>
  </si>
  <si>
    <t>12-01-2025</t>
  </si>
  <si>
    <t>12-01-2026</t>
  </si>
  <si>
    <t>12-01-2027</t>
  </si>
  <si>
    <t>12-01-2028</t>
  </si>
  <si>
    <t>12-01-2029</t>
  </si>
  <si>
    <t>12-01-2030</t>
  </si>
  <si>
    <t>12-01-2031</t>
  </si>
  <si>
    <t>12-01-2032</t>
  </si>
  <si>
    <t>12-01-2033</t>
  </si>
  <si>
    <t>Neha</t>
  </si>
  <si>
    <t>Metric</t>
  </si>
  <si>
    <t>Value</t>
  </si>
  <si>
    <t>Average Salary</t>
  </si>
  <si>
    <t>Minimum Salary</t>
  </si>
  <si>
    <t>total employees</t>
  </si>
  <si>
    <t>Employees</t>
  </si>
  <si>
    <t>SALES</t>
  </si>
  <si>
    <t>FINANCE</t>
  </si>
  <si>
    <t>MEXIMUM SALERY</t>
  </si>
  <si>
    <t>MEDIAN SALARY</t>
  </si>
  <si>
    <t>KEY OBSERVATIONS</t>
  </si>
  <si>
    <t>TOTAL EMPLOYEES</t>
  </si>
  <si>
    <t>MAXIMUM SALARY</t>
  </si>
  <si>
    <t>MINIMUM SALARY</t>
  </si>
  <si>
    <t>IT DEPARTMENT HAS THE HIGHEST NUMBER OF EMPLOYEES.</t>
  </si>
  <si>
    <t>AVERAGE SALARY</t>
  </si>
  <si>
    <t xml:space="preserve">FINANCE DEPARTMENT HAS THE LOWEST NUMBER OF EMPLOYES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</si>
</sst>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;@"/>
  </numFmts>
  <fonts count="6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sz val="18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14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0" fontId="0" fillId="0" borderId="0" xfId="0" applyAlignment="1">
      <alignment horizontal="center"/>
    </xf>
    <xf numFmtId="0" fontId="5" fillId="0" borderId="0" xfId="0" applyFont="1"/>
    <xf numFmtId="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Department-wise</a:t>
            </a:r>
            <a:r>
              <a:rPr lang="en-US" sz="1400" b="0" i="0" u="none" strike="noStrike" baseline="0"/>
              <a:t> </a:t>
            </a:r>
            <a:r>
              <a:rPr lang="en-US" sz="1400" b="1" i="0" u="none" strike="noStrike" baseline="0"/>
              <a:t>Employee Distribution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analysis!$B$8</c:f>
              <c:strCache>
                <c:ptCount val="1"/>
                <c:pt idx="0">
                  <c:v>Employees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D93-4C13-9E59-8EB0EC60C45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analysis!$A$9:$A$12</c:f>
              <c:strCache>
                <c:ptCount val="4"/>
                <c:pt idx="0">
                  <c:v>HR</c:v>
                </c:pt>
                <c:pt idx="1">
                  <c:v>IT</c:v>
                </c:pt>
                <c:pt idx="2">
                  <c:v>SALES</c:v>
                </c:pt>
                <c:pt idx="3">
                  <c:v>FINANCE</c:v>
                </c:pt>
              </c:strCache>
            </c:strRef>
          </c:cat>
          <c:val>
            <c:numRef>
              <c:f>analysis!$B$9:$B$12</c:f>
              <c:numCache>
                <c:formatCode>General</c:formatCode>
                <c:ptCount val="4"/>
                <c:pt idx="0">
                  <c:v>3</c:v>
                </c:pt>
                <c:pt idx="1">
                  <c:v>4</c:v>
                </c:pt>
                <c:pt idx="2">
                  <c:v>2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93-4C13-9E59-8EB0EC60C4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579120</xdr:colOff>
      <xdr:row>7</xdr:row>
      <xdr:rowOff>76200</xdr:rowOff>
    </xdr:from>
    <xdr:to>
      <xdr:col>7</xdr:col>
      <xdr:colOff>342900</xdr:colOff>
      <xdr:row>27</xdr:row>
      <xdr:rowOff>15240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949BBA1-BB6A-52D3-D058-F25DACE425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workbookViewId="0">
      <selection activeCell="D13" sqref="D13"/>
    </sheetView>
  </sheetViews>
  <sheetFormatPr defaultRowHeight="14.4"/>
  <cols>
    <col min="4" max="4" width="10.55468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101</v>
      </c>
      <c r="B2" t="s">
        <v>5</v>
      </c>
      <c r="C2" t="s">
        <v>6</v>
      </c>
      <c r="D2" s="3" t="s">
        <v>7</v>
      </c>
      <c r="E2">
        <v>30000</v>
      </c>
    </row>
    <row r="3" spans="1:5">
      <c r="A3">
        <v>102</v>
      </c>
      <c r="B3" t="s">
        <v>8</v>
      </c>
      <c r="C3" t="s">
        <v>9</v>
      </c>
      <c r="D3" s="3" t="s">
        <v>18</v>
      </c>
      <c r="E3">
        <v>45000</v>
      </c>
    </row>
    <row r="4" spans="1:5">
      <c r="A4">
        <v>103</v>
      </c>
      <c r="B4" t="s">
        <v>16</v>
      </c>
      <c r="C4" t="s">
        <v>10</v>
      </c>
      <c r="D4" s="3" t="s">
        <v>19</v>
      </c>
      <c r="E4">
        <v>40000</v>
      </c>
    </row>
    <row r="5" spans="1:5">
      <c r="A5">
        <v>110</v>
      </c>
      <c r="B5" t="s">
        <v>11</v>
      </c>
      <c r="C5" t="s">
        <v>9</v>
      </c>
      <c r="D5" s="3" t="s">
        <v>20</v>
      </c>
      <c r="E5">
        <v>50000</v>
      </c>
    </row>
    <row r="6" spans="1:5">
      <c r="A6">
        <v>104</v>
      </c>
      <c r="B6" t="s">
        <v>11</v>
      </c>
      <c r="C6" t="s">
        <v>9</v>
      </c>
      <c r="D6" s="3" t="s">
        <v>21</v>
      </c>
      <c r="E6">
        <v>40000</v>
      </c>
    </row>
    <row r="7" spans="1:5">
      <c r="A7">
        <v>105</v>
      </c>
      <c r="B7" t="s">
        <v>27</v>
      </c>
      <c r="C7" t="s">
        <v>6</v>
      </c>
      <c r="D7" s="3" t="s">
        <v>22</v>
      </c>
      <c r="E7">
        <v>35000</v>
      </c>
    </row>
    <row r="8" spans="1:5">
      <c r="A8">
        <v>106</v>
      </c>
      <c r="B8" t="s">
        <v>12</v>
      </c>
      <c r="C8" t="s">
        <v>13</v>
      </c>
      <c r="D8" s="3" t="s">
        <v>23</v>
      </c>
      <c r="E8">
        <v>50000</v>
      </c>
    </row>
    <row r="9" spans="1:5">
      <c r="A9">
        <v>107</v>
      </c>
      <c r="B9" t="s">
        <v>17</v>
      </c>
      <c r="C9" t="s">
        <v>10</v>
      </c>
      <c r="D9" s="3" t="s">
        <v>24</v>
      </c>
      <c r="E9">
        <v>42000</v>
      </c>
    </row>
    <row r="10" spans="1:5">
      <c r="A10">
        <v>108</v>
      </c>
      <c r="B10" t="s">
        <v>14</v>
      </c>
      <c r="C10" t="s">
        <v>9</v>
      </c>
      <c r="D10" s="3" t="s">
        <v>25</v>
      </c>
      <c r="E10">
        <v>30000</v>
      </c>
    </row>
    <row r="11" spans="1:5">
      <c r="A11">
        <v>109</v>
      </c>
      <c r="B11" t="s">
        <v>15</v>
      </c>
      <c r="C11" t="s">
        <v>6</v>
      </c>
      <c r="D11" s="3" t="s">
        <v>26</v>
      </c>
      <c r="E11">
        <v>38000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C0790-54FE-4B79-A508-4CD0CD086A85}">
  <dimension ref="A1:E12"/>
  <sheetViews>
    <sheetView workbookViewId="0">
      <selection activeCell="D4" sqref="D4"/>
    </sheetView>
  </sheetViews>
  <sheetFormatPr defaultRowHeight="14.4"/>
  <cols>
    <col min="4" max="4" width="12.55468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101</v>
      </c>
      <c r="B2" t="s">
        <v>5</v>
      </c>
      <c r="C2" t="s">
        <v>6</v>
      </c>
      <c r="D2" s="2">
        <v>45329</v>
      </c>
      <c r="E2">
        <v>30000</v>
      </c>
    </row>
    <row r="3" spans="1:5">
      <c r="A3">
        <v>102</v>
      </c>
      <c r="B3" t="s">
        <v>8</v>
      </c>
      <c r="C3" t="s">
        <v>9</v>
      </c>
      <c r="D3" s="2">
        <v>45358</v>
      </c>
      <c r="E3">
        <v>45000</v>
      </c>
    </row>
    <row r="4" spans="1:5">
      <c r="A4">
        <v>103</v>
      </c>
      <c r="B4" t="s">
        <v>16</v>
      </c>
      <c r="C4" t="s">
        <v>10</v>
      </c>
      <c r="D4" s="2">
        <v>45603</v>
      </c>
      <c r="E4">
        <v>40000</v>
      </c>
    </row>
    <row r="5" spans="1:5">
      <c r="A5">
        <v>110</v>
      </c>
      <c r="B5" t="s">
        <v>11</v>
      </c>
      <c r="C5" t="s">
        <v>9</v>
      </c>
      <c r="D5" s="2">
        <v>45389</v>
      </c>
      <c r="E5">
        <v>50000</v>
      </c>
    </row>
    <row r="6" spans="1:5">
      <c r="A6">
        <v>104</v>
      </c>
      <c r="B6" t="s">
        <v>11</v>
      </c>
      <c r="C6" t="s">
        <v>9</v>
      </c>
      <c r="D6" s="2">
        <v>45419</v>
      </c>
      <c r="E6">
        <v>40000</v>
      </c>
    </row>
    <row r="7" spans="1:5">
      <c r="A7">
        <v>105</v>
      </c>
      <c r="B7" t="s">
        <v>27</v>
      </c>
      <c r="C7" t="s">
        <v>6</v>
      </c>
      <c r="D7" s="2">
        <v>45450</v>
      </c>
      <c r="E7">
        <v>35000</v>
      </c>
    </row>
    <row r="8" spans="1:5">
      <c r="A8">
        <v>106</v>
      </c>
      <c r="B8" t="s">
        <v>12</v>
      </c>
      <c r="C8" t="s">
        <v>13</v>
      </c>
      <c r="D8" s="2">
        <v>45480</v>
      </c>
      <c r="E8">
        <v>50000</v>
      </c>
    </row>
    <row r="9" spans="1:5">
      <c r="A9">
        <v>107</v>
      </c>
      <c r="B9" t="s">
        <v>17</v>
      </c>
      <c r="C9" t="s">
        <v>10</v>
      </c>
      <c r="D9" s="2">
        <v>45511</v>
      </c>
      <c r="E9">
        <v>42000</v>
      </c>
    </row>
    <row r="10" spans="1:5">
      <c r="A10">
        <v>108</v>
      </c>
      <c r="B10" t="s">
        <v>14</v>
      </c>
      <c r="C10" t="s">
        <v>9</v>
      </c>
      <c r="D10" s="2">
        <v>45542</v>
      </c>
      <c r="E10">
        <v>30000</v>
      </c>
    </row>
    <row r="11" spans="1:5">
      <c r="A11">
        <v>109</v>
      </c>
      <c r="B11" t="s">
        <v>15</v>
      </c>
      <c r="C11" t="s">
        <v>6</v>
      </c>
      <c r="D11" s="2">
        <v>45572</v>
      </c>
      <c r="E11">
        <v>38000</v>
      </c>
    </row>
    <row r="12" spans="1:5">
      <c r="D12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BF046-84B6-48DD-9269-9E5CEEF614D0}">
  <dimension ref="A1:C22"/>
  <sheetViews>
    <sheetView tabSelected="1" topLeftCell="A10" workbookViewId="0">
      <selection activeCell="B22" sqref="B22"/>
    </sheetView>
  </sheetViews>
  <sheetFormatPr defaultRowHeight="14.4"/>
  <cols>
    <col min="1" max="1" width="55.5546875" customWidth="1"/>
    <col min="2" max="3" width="35.21875" customWidth="1"/>
  </cols>
  <sheetData>
    <row r="1" spans="1:3" ht="22.2" customHeight="1">
      <c r="A1" t="s">
        <v>28</v>
      </c>
      <c r="B1" t="s">
        <v>29</v>
      </c>
    </row>
    <row r="2" spans="1:3" ht="21.6" customHeight="1">
      <c r="A2" s="5" t="s">
        <v>32</v>
      </c>
      <c r="B2" s="5">
        <f>COUNTA(cleaned_data!A2:A10)</f>
        <v>9</v>
      </c>
    </row>
    <row r="3" spans="1:3" ht="25.2" customHeight="1">
      <c r="A3" s="6" t="s">
        <v>30</v>
      </c>
      <c r="B3" s="6">
        <f>AVERAGE(cleaned_data!E2:E10)</f>
        <v>40222.222222222219</v>
      </c>
    </row>
    <row r="4" spans="1:3">
      <c r="A4" s="6" t="s">
        <v>31</v>
      </c>
      <c r="B4" s="6">
        <f>MAX(cleaned_data!E2:E10)</f>
        <v>50000</v>
      </c>
    </row>
    <row r="5" spans="1:3">
      <c r="A5" s="6" t="s">
        <v>36</v>
      </c>
      <c r="B5" s="6">
        <v>70000</v>
      </c>
    </row>
    <row r="6" spans="1:3">
      <c r="A6" s="6" t="s">
        <v>37</v>
      </c>
      <c r="B6" s="6">
        <f>MEDIAN(cleaned_data!E2:E10)</f>
        <v>40000</v>
      </c>
    </row>
    <row r="7" spans="1:3">
      <c r="A7" s="6"/>
      <c r="B7" s="6"/>
    </row>
    <row r="8" spans="1:3">
      <c r="A8" s="8" t="s">
        <v>2</v>
      </c>
      <c r="B8" s="8" t="s">
        <v>33</v>
      </c>
    </row>
    <row r="9" spans="1:3">
      <c r="A9" s="6" t="s">
        <v>6</v>
      </c>
      <c r="B9">
        <f>COUNTIF(cleaned_data!C:C,"HR")</f>
        <v>3</v>
      </c>
    </row>
    <row r="10" spans="1:3">
      <c r="A10" s="6" t="s">
        <v>9</v>
      </c>
      <c r="B10">
        <f>COUNTIF(cleaned_data!C:C,"IT")</f>
        <v>4</v>
      </c>
    </row>
    <row r="11" spans="1:3">
      <c r="A11" s="6" t="s">
        <v>34</v>
      </c>
      <c r="B11">
        <f>COUNTIF(cleaned_data!C:C,"Sales")</f>
        <v>2</v>
      </c>
      <c r="C11" s="7"/>
    </row>
    <row r="12" spans="1:3">
      <c r="A12" s="6" t="s">
        <v>35</v>
      </c>
      <c r="B12">
        <f>COUNTIF(cleaned_data!C:C,"Finance")</f>
        <v>1</v>
      </c>
      <c r="C12" s="7"/>
    </row>
    <row r="15" spans="1:3">
      <c r="A15" s="4" t="s">
        <v>38</v>
      </c>
    </row>
    <row r="16" spans="1:3">
      <c r="A16" s="6" t="s">
        <v>39</v>
      </c>
      <c r="B16">
        <v>9</v>
      </c>
    </row>
    <row r="17" spans="1:3">
      <c r="A17" s="6" t="s">
        <v>43</v>
      </c>
      <c r="B17" s="10">
        <v>40222.22</v>
      </c>
    </row>
    <row r="18" spans="1:3" ht="23.4">
      <c r="A18" s="6" t="s">
        <v>40</v>
      </c>
      <c r="B18" s="11">
        <v>50000</v>
      </c>
      <c r="C18" s="9"/>
    </row>
    <row r="19" spans="1:3">
      <c r="A19" s="6" t="s">
        <v>41</v>
      </c>
      <c r="B19" s="11">
        <v>30000</v>
      </c>
    </row>
    <row r="20" spans="1:3">
      <c r="A20" s="6" t="s">
        <v>37</v>
      </c>
      <c r="B20" s="11">
        <v>40000</v>
      </c>
    </row>
    <row r="21" spans="1:3" ht="43.2">
      <c r="A21" s="6" t="s">
        <v>42</v>
      </c>
    </row>
    <row r="22" spans="1:3">
      <c r="A22" t="s">
        <v>44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C6681-0C7F-442D-BDBB-BECA40BE28A6}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Raw_Data</vt:lpstr>
      <vt:lpstr>cleaned_data</vt:lpstr>
      <vt:lpstr>analysis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KASHISH MALIK</cp:lastModifiedBy>
  <dcterms:created xsi:type="dcterms:W3CDTF">2026-07-13T08:11:05Z</dcterms:created>
  <dcterms:modified xsi:type="dcterms:W3CDTF">2026-07-14T07:34:06Z</dcterms:modified>
</cp:coreProperties>
</file>